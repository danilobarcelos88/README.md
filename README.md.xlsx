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.souza\Desktop\"/>
    </mc:Choice>
  </mc:AlternateContent>
  <xr:revisionPtr revIDLastSave="0" documentId="8_{E2A85197-A2BF-4F43-B7BA-FBB5A4704810}" xr6:coauthVersionLast="47" xr6:coauthVersionMax="47" xr10:uidLastSave="{00000000-0000-0000-0000-000000000000}"/>
  <bookViews>
    <workbookView xWindow="10035" yWindow="225" windowWidth="16590" windowHeight="13725" tabRatio="367" xr2:uid="{893D687D-87E4-4FB3-B8B1-862E8C16D337}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td_anos">Planilha1!$D$19</definedName>
    <definedName name="rendimento_da_carteira">Planilha1!$D$14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8" i="1"/>
  <c r="C41" i="1"/>
  <c r="B4" i="2"/>
  <c r="B5" i="2"/>
  <c r="B6" i="2"/>
  <c r="B7" i="2"/>
  <c r="B8" i="2"/>
  <c r="B3" i="2"/>
  <c r="D21" i="1"/>
  <c r="D22" i="1" s="1"/>
  <c r="D15" i="1"/>
  <c r="C26" i="1"/>
  <c r="D26" i="1" s="1"/>
  <c r="C27" i="1"/>
  <c r="D27" i="1" s="1"/>
  <c r="C28" i="1"/>
  <c r="D28" i="1" s="1"/>
  <c r="C29" i="1"/>
  <c r="D29" i="1" s="1"/>
  <c r="C25" i="1"/>
  <c r="D25" i="1" s="1"/>
  <c r="D38" i="1" l="1"/>
  <c r="D41" i="1"/>
  <c r="C40" i="1"/>
  <c r="D40" i="1" s="1"/>
  <c r="C39" i="1"/>
  <c r="D39" i="1" s="1"/>
  <c r="C37" i="1"/>
  <c r="D37" i="1" s="1"/>
  <c r="C42" i="1"/>
  <c r="D42" i="1" s="1"/>
  <c r="D43" i="1" l="1"/>
</calcChain>
</file>

<file path=xl/sharedStrings.xml><?xml version="1.0" encoding="utf-8"?>
<sst xmlns="http://schemas.openxmlformats.org/spreadsheetml/2006/main" count="81" uniqueCount="45">
  <si>
    <t xml:space="preserve">Quanto investir por mês </t>
  </si>
  <si>
    <t xml:space="preserve">Por quantos anos </t>
  </si>
  <si>
    <t>Taxa de rendimento mensal</t>
  </si>
  <si>
    <t>Patrimônio acumulado</t>
  </si>
  <si>
    <t>Dividendos mensais</t>
  </si>
  <si>
    <t>Quanto em 2 anos ?</t>
  </si>
  <si>
    <t>Quanto em 5 anos ?</t>
  </si>
  <si>
    <t>Quanto em 10 anos ?</t>
  </si>
  <si>
    <t>Quanto em 20 anos ?</t>
  </si>
  <si>
    <t>Quanto em 30 anos ?</t>
  </si>
  <si>
    <t>CENÁRIOS</t>
  </si>
  <si>
    <t>Dividendo</t>
  </si>
  <si>
    <t>Salario</t>
  </si>
  <si>
    <t>Rendimento da Carteira</t>
  </si>
  <si>
    <t xml:space="preserve">                       CONFIGURAÇOES</t>
  </si>
  <si>
    <t>INVESTIMENTO    MENSAL</t>
  </si>
  <si>
    <t>Moderado</t>
  </si>
  <si>
    <t>Agressivo</t>
  </si>
  <si>
    <t>Conservador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</si>
  <si>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</si>
  <si>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</si>
  <si>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</si>
  <si>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</si>
  <si>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</si>
  <si>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</si>
  <si>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</si>
  <si>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</si>
  <si>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</si>
  <si>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</si>
  <si>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</si>
  <si>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%</t>
  </si>
  <si>
    <t>CHAVE</t>
  </si>
  <si>
    <t>Moderado-PAPEL</t>
  </si>
  <si>
    <t>Moderado-TIJOLO</t>
  </si>
  <si>
    <t>Moderado-HIBRIDOS</t>
  </si>
  <si>
    <t>Moderado-FOFs</t>
  </si>
  <si>
    <t>Moderado-DESENVOLVIMENTO</t>
  </si>
  <si>
    <t>Moderado-HOTELARIAS</t>
  </si>
  <si>
    <t>Agressivo-PAPEL</t>
  </si>
  <si>
    <t>Agressivo-TIJOLO</t>
  </si>
  <si>
    <t>Agressivo-HIBRIDOS</t>
  </si>
  <si>
    <t>Agressivo-FOFs</t>
  </si>
  <si>
    <t>Agressivo-DESENVOLVIMENTO</t>
  </si>
  <si>
    <t>Agressivo-HOTELARIAS</t>
  </si>
  <si>
    <t>Sugestao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</si>
</sst>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72" formatCode="&quot;R$&quot;\ #,##0.00"/>
    <numFmt numFmtId="175" formatCode="0.0%"/>
  </numFmts>
  <fonts count="1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theme="2" tint="-9.9948118533890809E-2"/>
      </right>
      <top/>
      <bottom/>
      <diagonal/>
    </border>
    <border>
      <left/>
      <right style="medium">
        <color theme="2" tint="-9.9948118533890809E-2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theme="2" tint="-9.9948118533890809E-2"/>
      </left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medium">
        <color theme="2" tint="-9.9948118533890809E-2"/>
      </right>
      <top/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/>
      <right style="thin">
        <color theme="2" tint="-9.9948118533890809E-2"/>
      </right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0" xfId="0" applyAlignment="1"/>
    <xf numFmtId="0" fontId="4" fillId="0" borderId="0" xfId="0" applyFont="1"/>
    <xf numFmtId="0" fontId="6" fillId="3" borderId="17" xfId="0" applyFont="1" applyFill="1" applyBorder="1" applyAlignment="1"/>
    <xf numFmtId="0" fontId="5" fillId="0" borderId="0" xfId="0" applyFont="1"/>
    <xf numFmtId="0" fontId="3" fillId="5" borderId="2" xfId="0" applyFont="1" applyFill="1" applyBorder="1" applyAlignment="1">
      <alignment vertical="center"/>
    </xf>
    <xf numFmtId="0" fontId="2" fillId="5" borderId="2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172" fontId="9" fillId="0" borderId="21" xfId="0" applyNumberFormat="1" applyFont="1" applyBorder="1" applyAlignment="1">
      <alignment horizontal="left"/>
    </xf>
    <xf numFmtId="175" fontId="9" fillId="0" borderId="22" xfId="0" applyNumberFormat="1" applyFont="1" applyBorder="1" applyAlignment="1">
      <alignment horizontal="left"/>
    </xf>
    <xf numFmtId="0" fontId="8" fillId="6" borderId="5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172" fontId="9" fillId="0" borderId="24" xfId="0" applyNumberFormat="1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172" fontId="10" fillId="0" borderId="9" xfId="0" applyNumberFormat="1" applyFont="1" applyBorder="1" applyAlignment="1">
      <alignment horizontal="center"/>
    </xf>
    <xf numFmtId="1" fontId="10" fillId="0" borderId="12" xfId="0" applyNumberFormat="1" applyFont="1" applyBorder="1" applyAlignment="1">
      <alignment horizontal="center"/>
    </xf>
    <xf numFmtId="10" fontId="10" fillId="0" borderId="12" xfId="0" applyNumberFormat="1" applyFont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8" fontId="10" fillId="4" borderId="12" xfId="0" applyNumberFormat="1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25" xfId="0" applyFont="1" applyFill="1" applyBorder="1" applyAlignment="1">
      <alignment horizontal="center"/>
    </xf>
    <xf numFmtId="8" fontId="10" fillId="4" borderId="15" xfId="0" applyNumberFormat="1" applyFont="1" applyFill="1" applyBorder="1" applyAlignment="1">
      <alignment horizontal="center"/>
    </xf>
    <xf numFmtId="0" fontId="8" fillId="4" borderId="7" xfId="0" applyFont="1" applyFill="1" applyBorder="1"/>
    <xf numFmtId="8" fontId="9" fillId="4" borderId="8" xfId="0" applyNumberFormat="1" applyFont="1" applyFill="1" applyBorder="1" applyAlignment="1">
      <alignment horizontal="center"/>
    </xf>
    <xf numFmtId="8" fontId="9" fillId="4" borderId="9" xfId="0" applyNumberFormat="1" applyFont="1" applyFill="1" applyBorder="1" applyAlignment="1">
      <alignment horizontal="right" indent="1"/>
    </xf>
    <xf numFmtId="0" fontId="8" fillId="4" borderId="10" xfId="0" applyFont="1" applyFill="1" applyBorder="1"/>
    <xf numFmtId="8" fontId="9" fillId="4" borderId="11" xfId="0" applyNumberFormat="1" applyFont="1" applyFill="1" applyBorder="1" applyAlignment="1">
      <alignment horizontal="center"/>
    </xf>
    <xf numFmtId="8" fontId="9" fillId="4" borderId="12" xfId="0" applyNumberFormat="1" applyFont="1" applyFill="1" applyBorder="1" applyAlignment="1">
      <alignment horizontal="right" indent="1"/>
    </xf>
    <xf numFmtId="0" fontId="8" fillId="4" borderId="13" xfId="0" applyFont="1" applyFill="1" applyBorder="1"/>
    <xf numFmtId="8" fontId="9" fillId="4" borderId="14" xfId="0" applyNumberFormat="1" applyFont="1" applyFill="1" applyBorder="1" applyAlignment="1">
      <alignment horizontal="center"/>
    </xf>
    <xf numFmtId="8" fontId="9" fillId="4" borderId="15" xfId="0" applyNumberFormat="1" applyFont="1" applyFill="1" applyBorder="1" applyAlignment="1">
      <alignment horizontal="right" indent="1"/>
    </xf>
    <xf numFmtId="0" fontId="4" fillId="3" borderId="26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26" xfId="0" applyFont="1" applyFill="1" applyBorder="1" applyAlignment="1"/>
    <xf numFmtId="0" fontId="1" fillId="2" borderId="0" xfId="1"/>
    <xf numFmtId="0" fontId="0" fillId="6" borderId="0" xfId="0" applyFill="1"/>
    <xf numFmtId="172" fontId="0" fillId="0" borderId="0" xfId="0" applyNumberFormat="1" applyAlignment="1">
      <alignment horizontal="center"/>
    </xf>
    <xf numFmtId="172" fontId="0" fillId="0" borderId="0" xfId="0" applyNumberFormat="1" applyAlignment="1"/>
    <xf numFmtId="0" fontId="1" fillId="2" borderId="0" xfId="1" applyAlignment="1">
      <alignment horizontal="center"/>
    </xf>
    <xf numFmtId="0" fontId="12" fillId="2" borderId="0" xfId="1" applyFont="1" applyBorder="1"/>
    <xf numFmtId="0" fontId="3" fillId="6" borderId="0" xfId="0" applyFont="1" applyFill="1"/>
    <xf numFmtId="172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9" fontId="0" fillId="0" borderId="0" xfId="0" applyNumberFormat="1" applyAlignment="1">
      <alignment horizontal="center"/>
    </xf>
    <xf numFmtId="172" fontId="3" fillId="7" borderId="0" xfId="0" applyNumberFormat="1" applyFont="1" applyFill="1"/>
    <xf numFmtId="0" fontId="10" fillId="0" borderId="0" xfId="0" applyFont="1" applyAlignment="1">
      <alignment horizontal="center"/>
    </xf>
    <xf numFmtId="0" fontId="0" fillId="0" borderId="27" xfId="0" applyBorder="1"/>
    <xf numFmtId="0" fontId="10" fillId="0" borderId="27" xfId="0" applyFont="1" applyBorder="1" applyAlignment="1">
      <alignment horizontal="center"/>
    </xf>
    <xf numFmtId="0" fontId="0" fillId="0" borderId="0" xfId="0" applyBorder="1"/>
    <xf numFmtId="0" fontId="10" fillId="0" borderId="0" xfId="0" applyFont="1" applyBorder="1" applyAlignment="1">
      <alignment horizontal="center"/>
    </xf>
    <xf numFmtId="0" fontId="0" fillId="0" borderId="28" xfId="0" applyBorder="1"/>
    <xf numFmtId="0" fontId="10" fillId="0" borderId="28" xfId="0" applyFont="1" applyBorder="1" applyAlignment="1">
      <alignment horizontal="center"/>
    </xf>
    <xf numFmtId="9" fontId="0" fillId="0" borderId="27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28" xfId="0" applyNumberFormat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1-489B-92E2-89D52755C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pxhere.com/pt/photo/841428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1009650</xdr:colOff>
      <xdr:row>1</xdr:row>
      <xdr:rowOff>76199</xdr:rowOff>
    </xdr:from>
    <xdr:to>
      <xdr:col>16381</xdr:col>
      <xdr:colOff>38100</xdr:colOff>
      <xdr:row>10</xdr:row>
      <xdr:rowOff>91994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2D7B57-2E3B-293D-091E-4BE4C2AE1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09650" y="266699"/>
          <a:ext cx="5886450" cy="1730295"/>
        </a:xfrm>
        <a:prstGeom prst="rect">
          <a:avLst/>
        </a:prstGeom>
      </xdr:spPr>
    </xdr:pic>
    <xdr:clientData/>
  </xdr:twoCellAnchor>
  <xdr:twoCellAnchor>
    <xdr:from>
      <xdr:col>1</xdr:col>
      <xdr:colOff>219075</xdr:colOff>
      <xdr:row>44</xdr:row>
      <xdr:rowOff>142875</xdr:rowOff>
    </xdr:from>
    <xdr:to>
      <xdr:col>3</xdr:col>
      <xdr:colOff>257175</xdr:colOff>
      <xdr:row>59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DCF310-FD80-5A89-8245-12B8E8573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D783-C0C6-42A7-A69B-6AD822ED97FD}">
  <dimension ref="A10:XFD70"/>
  <sheetViews>
    <sheetView showGridLines="0" tabSelected="1" topLeftCell="A20" workbookViewId="0">
      <selection activeCell="XFC51" sqref="XFC51"/>
    </sheetView>
  </sheetViews>
  <sheetFormatPr defaultColWidth="0" defaultRowHeight="15" x14ac:dyDescent="0.25"/>
  <cols>
    <col min="1" max="1" width="15.28515625" customWidth="1"/>
    <col min="2" max="2" width="32" customWidth="1"/>
    <col min="3" max="3" width="36" customWidth="1"/>
    <col min="4" max="4" width="17.85546875" customWidth="1"/>
    <col min="5" max="5" width="0.140625" customWidth="1"/>
    <col min="6" max="6" width="0.28515625" customWidth="1"/>
    <col min="7" max="7" width="0.140625" customWidth="1"/>
    <col min="8" max="8" width="1.140625" customWidth="1"/>
    <col min="9" max="16381" width="9.140625" hidden="1"/>
    <col min="16382" max="16382" width="0.7109375" customWidth="1"/>
    <col min="16383" max="16383" width="4" customWidth="1"/>
    <col min="16384" max="16384" width="8.140625" customWidth="1"/>
  </cols>
  <sheetData>
    <row r="10" spans="2:4 16384:16384" x14ac:dyDescent="0.25">
      <c r="B10" s="2"/>
      <c r="C10" s="2"/>
    </row>
    <row r="11" spans="2:4 16384:16384" ht="15.75" thickBot="1" x14ac:dyDescent="0.3">
      <c r="B11" s="1"/>
      <c r="C11" s="1"/>
    </row>
    <row r="12" spans="2:4 16384:16384" ht="21" x14ac:dyDescent="0.25">
      <c r="B12" s="11" t="s">
        <v>14</v>
      </c>
      <c r="C12" s="10"/>
      <c r="D12" s="9"/>
    </row>
    <row r="13" spans="2:4 16384:16384" ht="18" thickBot="1" x14ac:dyDescent="0.35">
      <c r="B13" s="14" t="s">
        <v>12</v>
      </c>
      <c r="C13" s="15"/>
      <c r="D13" s="16">
        <v>4200</v>
      </c>
    </row>
    <row r="14" spans="2:4 16384:16384" ht="18" thickBot="1" x14ac:dyDescent="0.35">
      <c r="B14" s="14" t="s">
        <v>13</v>
      </c>
      <c r="C14" s="15"/>
      <c r="D14" s="17">
        <v>6.0000000000000001E-3</v>
      </c>
    </row>
    <row r="15" spans="2:4 16384:16384" ht="18" thickBot="1" x14ac:dyDescent="0.35">
      <c r="B15" s="18" t="s">
        <v>44</v>
      </c>
      <c r="C15" s="19"/>
      <c r="D15" s="20">
        <f>D13*30%</f>
        <v>1260</v>
      </c>
    </row>
    <row r="16" spans="2:4 16384:16384" ht="16.5" thickBot="1" x14ac:dyDescent="0.3">
      <c r="B16" s="1"/>
      <c r="C16" s="1"/>
      <c r="XFD16" s="8"/>
    </row>
    <row r="17" spans="1:5" ht="21" x14ac:dyDescent="0.35">
      <c r="B17" s="12" t="s">
        <v>15</v>
      </c>
      <c r="C17" s="42"/>
      <c r="D17" s="43"/>
    </row>
    <row r="18" spans="1:5" ht="17.25" x14ac:dyDescent="0.3">
      <c r="B18" s="21" t="s">
        <v>0</v>
      </c>
      <c r="C18" s="22"/>
      <c r="D18" s="23">
        <v>1260</v>
      </c>
    </row>
    <row r="19" spans="1:5" ht="17.25" x14ac:dyDescent="0.3">
      <c r="B19" s="21" t="s">
        <v>1</v>
      </c>
      <c r="C19" s="22"/>
      <c r="D19" s="24">
        <v>10</v>
      </c>
    </row>
    <row r="20" spans="1:5" ht="17.25" x14ac:dyDescent="0.3">
      <c r="B20" s="21" t="s">
        <v>2</v>
      </c>
      <c r="C20" s="22"/>
      <c r="D20" s="25">
        <v>1.0789999999999999E-2</v>
      </c>
    </row>
    <row r="21" spans="1:5" ht="17.25" x14ac:dyDescent="0.3">
      <c r="B21" s="26" t="s">
        <v>3</v>
      </c>
      <c r="C21" s="27"/>
      <c r="D21" s="28">
        <f>FV(taxa_mensal,qtd_anos*12,aporte*-1)</f>
        <v>306538.10778801696</v>
      </c>
    </row>
    <row r="22" spans="1:5" ht="18" thickBot="1" x14ac:dyDescent="0.35">
      <c r="B22" s="29" t="s">
        <v>4</v>
      </c>
      <c r="C22" s="30"/>
      <c r="D22" s="31">
        <f>patrimonio*rendimento_da_carteira</f>
        <v>1839.2286467281017</v>
      </c>
    </row>
    <row r="23" spans="1:5" ht="15.75" thickBot="1" x14ac:dyDescent="0.3">
      <c r="C23" s="5"/>
    </row>
    <row r="24" spans="1:5" ht="22.5" thickTop="1" thickBot="1" x14ac:dyDescent="0.4">
      <c r="B24" s="13" t="s">
        <v>10</v>
      </c>
      <c r="C24" s="41"/>
      <c r="D24" s="44" t="s">
        <v>11</v>
      </c>
      <c r="E24" s="7"/>
    </row>
    <row r="25" spans="1:5" ht="18" thickTop="1" x14ac:dyDescent="0.3">
      <c r="A25" s="6">
        <v>2</v>
      </c>
      <c r="B25" s="32" t="s">
        <v>5</v>
      </c>
      <c r="C25" s="33">
        <f>FV($D$20,$A25*12,$D$18*-1)</f>
        <v>34306.810395032975</v>
      </c>
      <c r="D25" s="34">
        <f>C25*rendimento_da_carteira</f>
        <v>205.84086237019787</v>
      </c>
      <c r="E25" s="3"/>
    </row>
    <row r="26" spans="1:5" ht="17.25" x14ac:dyDescent="0.3">
      <c r="A26" s="6">
        <v>5</v>
      </c>
      <c r="B26" s="35" t="s">
        <v>6</v>
      </c>
      <c r="C26" s="36">
        <f>FV($D$20,$A26*12,$D$18*-1)</f>
        <v>105558.91163809443</v>
      </c>
      <c r="D26" s="37">
        <f>C26*rendimento_da_carteira</f>
        <v>633.35346982856663</v>
      </c>
      <c r="E26" s="3"/>
    </row>
    <row r="27" spans="1:5" ht="17.25" x14ac:dyDescent="0.3">
      <c r="A27" s="6">
        <v>10</v>
      </c>
      <c r="B27" s="35" t="s">
        <v>7</v>
      </c>
      <c r="C27" s="36">
        <f>FV($D$20,$A27*12,$D$18*-1)</f>
        <v>306538.10778801696</v>
      </c>
      <c r="D27" s="37">
        <f>C27*rendimento_da_carteira</f>
        <v>1839.2286467281017</v>
      </c>
      <c r="E27" s="3"/>
    </row>
    <row r="28" spans="1:5" ht="17.25" x14ac:dyDescent="0.3">
      <c r="A28" s="6">
        <v>20</v>
      </c>
      <c r="B28" s="35" t="s">
        <v>8</v>
      </c>
      <c r="C28" s="36">
        <f>FV($D$20,$A28*12,$D$18*-1)</f>
        <v>1417749.9841223215</v>
      </c>
      <c r="D28" s="37">
        <f>C28*rendimento_da_carteira</f>
        <v>8506.4999047339297</v>
      </c>
      <c r="E28" s="3"/>
    </row>
    <row r="29" spans="1:5" ht="18" thickBot="1" x14ac:dyDescent="0.35">
      <c r="A29" s="6">
        <v>30</v>
      </c>
      <c r="B29" s="38" t="s">
        <v>9</v>
      </c>
      <c r="C29" s="39">
        <f>FV($D$20,$A29*12,$D$18*-1)</f>
        <v>5445933.7653059401</v>
      </c>
      <c r="D29" s="40">
        <f>C29*rendimento_da_carteira</f>
        <v>32675.602591835643</v>
      </c>
      <c r="E29" s="4"/>
    </row>
    <row r="32" spans="1:5" x14ac:dyDescent="0.25">
      <c r="B32" s="50" t="s">
        <v>19</v>
      </c>
      <c r="C32" s="49" t="s">
        <v>17</v>
      </c>
      <c r="D32" s="45"/>
    </row>
    <row r="33" spans="2:4" x14ac:dyDescent="0.25">
      <c r="B33" s="51" t="s">
        <v>20</v>
      </c>
      <c r="C33" s="52">
        <f>D15</f>
        <v>1260</v>
      </c>
      <c r="D33" s="46"/>
    </row>
    <row r="34" spans="2:4" x14ac:dyDescent="0.25">
      <c r="C34" s="48"/>
    </row>
    <row r="36" spans="2:4" x14ac:dyDescent="0.25">
      <c r="B36" s="53" t="s">
        <v>21</v>
      </c>
      <c r="C36" s="53" t="s">
        <v>22</v>
      </c>
      <c r="D36" s="53" t="s">
        <v>23</v>
      </c>
    </row>
    <row r="37" spans="2:4" ht="16.5" x14ac:dyDescent="0.3">
      <c r="B37" s="57" t="s">
        <v>24</v>
      </c>
      <c r="C37" s="55">
        <f>VLOOKUP($C$32&amp;"-"&amp;B37,Planilha2!$B:$E,4,FALSE)</f>
        <v>0.5</v>
      </c>
      <c r="D37" s="47">
        <f>C37*$C$33</f>
        <v>630</v>
      </c>
    </row>
    <row r="38" spans="2:4" ht="16.5" x14ac:dyDescent="0.3">
      <c r="B38" s="57" t="s">
        <v>25</v>
      </c>
      <c r="C38" s="55">
        <f>VLOOKUP($C$32&amp;"-"&amp;B38,Planilha2!$B$1:$E$20,4,FALSE)</f>
        <v>0.1</v>
      </c>
      <c r="D38" s="47">
        <f t="shared" ref="D38:D42" si="0">C38*$C$33</f>
        <v>126</v>
      </c>
    </row>
    <row r="39" spans="2:4" ht="16.5" x14ac:dyDescent="0.3">
      <c r="B39" s="57" t="s">
        <v>26</v>
      </c>
      <c r="C39" s="55">
        <f>VLOOKUP($C$32&amp;"-"&amp;B39,Planilha2!$B$1:$E$20,4,FALSE)</f>
        <v>0.05</v>
      </c>
      <c r="D39" s="47">
        <f t="shared" si="0"/>
        <v>63</v>
      </c>
    </row>
    <row r="40" spans="2:4" ht="16.5" x14ac:dyDescent="0.3">
      <c r="B40" s="57" t="s">
        <v>27</v>
      </c>
      <c r="C40" s="55">
        <f>VLOOKUP($C$32&amp;"-"&amp;B40,Planilha2!$B$1:$E$20,4,FALSE)</f>
        <v>0.05</v>
      </c>
      <c r="D40" s="47">
        <f t="shared" si="0"/>
        <v>63</v>
      </c>
    </row>
    <row r="41" spans="2:4" ht="16.5" x14ac:dyDescent="0.3">
      <c r="B41" s="57" t="s">
        <v>28</v>
      </c>
      <c r="C41" s="55">
        <f>VLOOKUP($C$32&amp;"-"&amp;B41,Planilha2!$B$1:$E$20,4,FALSE)</f>
        <v>0.2</v>
      </c>
      <c r="D41" s="47">
        <f t="shared" si="0"/>
        <v>252</v>
      </c>
    </row>
    <row r="42" spans="2:4" ht="16.5" x14ac:dyDescent="0.3">
      <c r="B42" s="57" t="s">
        <v>29</v>
      </c>
      <c r="C42" s="55">
        <f>VLOOKUP($C$32&amp;"-"&amp;B42,Planilha2!$B$1:$E$20,4,FALSE)</f>
        <v>0.1</v>
      </c>
      <c r="D42" s="47">
        <f t="shared" si="0"/>
        <v>126</v>
      </c>
    </row>
    <row r="43" spans="2:4" x14ac:dyDescent="0.25">
      <c r="B43" s="54"/>
      <c r="C43" s="54"/>
      <c r="D43" s="56">
        <f>SUM(D37:D42)</f>
        <v>1260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</sheetData>
  <mergeCells count="13">
    <mergeCell ref="B13:C13"/>
    <mergeCell ref="B14:C14"/>
    <mergeCell ref="B15:C15"/>
    <mergeCell ref="B17:D17"/>
    <mergeCell ref="B10:C10"/>
    <mergeCell ref="B24:C24"/>
    <mergeCell ref="D24:E24"/>
    <mergeCell ref="B12:C12"/>
    <mergeCell ref="B18:C18"/>
    <mergeCell ref="B19:C19"/>
    <mergeCell ref="B20:C20"/>
    <mergeCell ref="B21:C21"/>
    <mergeCell ref="B22:C22"/>
  </mergeCells>
  <dataValidations count="2">
    <dataValidation type="list" allowBlank="1" showInputMessage="1" showErrorMessage="1" sqref="XFC35" xr:uid="{7D3C0603-9BC3-47E2-AFB6-D7F562211415}">
      <formula1>"Conserador,Moderado,Agressivo"</formula1>
    </dataValidation>
    <dataValidation type="list" allowBlank="1" showInputMessage="1" showErrorMessage="1" sqref="C32" xr:uid="{619BD404-96E2-483A-8284-55EC908848B3}">
      <formula1>"Moderado,Agressivo,Conservador"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094A-1213-4096-A06B-43B86A0FFFAD}">
  <dimension ref="A2:F20"/>
  <sheetViews>
    <sheetView workbookViewId="0">
      <selection activeCell="I17" sqref="I17"/>
    </sheetView>
  </sheetViews>
  <sheetFormatPr defaultRowHeight="15" x14ac:dyDescent="0.25"/>
  <cols>
    <col min="2" max="2" width="30.85546875" bestFit="1" customWidth="1"/>
    <col min="3" max="3" width="12.140625" bestFit="1" customWidth="1"/>
    <col min="4" max="4" width="22.42578125" bestFit="1" customWidth="1"/>
  </cols>
  <sheetData>
    <row r="2" spans="1:6" x14ac:dyDescent="0.25">
      <c r="B2" t="s">
        <v>31</v>
      </c>
      <c r="C2" s="1" t="s">
        <v>19</v>
      </c>
      <c r="D2" s="1" t="s">
        <v>21</v>
      </c>
      <c r="E2" s="1" t="s">
        <v>30</v>
      </c>
    </row>
    <row r="3" spans="1:6" ht="16.5" x14ac:dyDescent="0.3">
      <c r="B3" t="str">
        <f>$C$3&amp;"-"&amp;D3</f>
        <v>Conservador-PAPEL</v>
      </c>
      <c r="C3" t="s">
        <v>18</v>
      </c>
      <c r="D3" s="57" t="s">
        <v>24</v>
      </c>
      <c r="E3" s="55">
        <v>0.3</v>
      </c>
    </row>
    <row r="4" spans="1:6" ht="16.5" x14ac:dyDescent="0.3">
      <c r="B4" t="str">
        <f t="shared" ref="B4:B20" si="0">$C$3&amp;"-"&amp;D4</f>
        <v>Conservador-TIJOLO</v>
      </c>
      <c r="C4" t="s">
        <v>18</v>
      </c>
      <c r="D4" s="57" t="s">
        <v>25</v>
      </c>
      <c r="E4" s="55">
        <v>0.5</v>
      </c>
    </row>
    <row r="5" spans="1:6" ht="16.5" x14ac:dyDescent="0.3">
      <c r="B5" t="str">
        <f t="shared" si="0"/>
        <v>Conservador-HIBRIDOS</v>
      </c>
      <c r="C5" t="s">
        <v>18</v>
      </c>
      <c r="D5" s="57" t="s">
        <v>26</v>
      </c>
      <c r="E5" s="55">
        <v>0.1</v>
      </c>
    </row>
    <row r="6" spans="1:6" ht="16.5" x14ac:dyDescent="0.3">
      <c r="B6" t="str">
        <f t="shared" si="0"/>
        <v>Conservador-FOFs</v>
      </c>
      <c r="C6" t="s">
        <v>18</v>
      </c>
      <c r="D6" s="57" t="s">
        <v>27</v>
      </c>
      <c r="E6" s="55">
        <v>0.1</v>
      </c>
    </row>
    <row r="7" spans="1:6" ht="16.5" x14ac:dyDescent="0.3">
      <c r="B7" t="str">
        <f t="shared" si="0"/>
        <v>Conservador-DESENVOLVIMENTO</v>
      </c>
      <c r="C7" t="s">
        <v>18</v>
      </c>
      <c r="D7" s="57" t="s">
        <v>28</v>
      </c>
      <c r="E7" s="55">
        <v>0</v>
      </c>
    </row>
    <row r="8" spans="1:6" ht="16.5" x14ac:dyDescent="0.3">
      <c r="B8" t="str">
        <f t="shared" si="0"/>
        <v>Conservador-HOTELARIAS</v>
      </c>
      <c r="C8" t="s">
        <v>18</v>
      </c>
      <c r="D8" s="57" t="s">
        <v>29</v>
      </c>
      <c r="E8" s="55">
        <v>0</v>
      </c>
    </row>
    <row r="9" spans="1:6" ht="16.5" x14ac:dyDescent="0.3">
      <c r="A9" s="58"/>
      <c r="B9" s="58" t="s">
        <v>32</v>
      </c>
      <c r="C9" s="58" t="s">
        <v>16</v>
      </c>
      <c r="D9" s="59" t="s">
        <v>24</v>
      </c>
      <c r="E9" s="64">
        <v>0.32</v>
      </c>
      <c r="F9" s="58"/>
    </row>
    <row r="10" spans="1:6" ht="16.5" x14ac:dyDescent="0.3">
      <c r="A10" s="60"/>
      <c r="B10" s="60" t="s">
        <v>33</v>
      </c>
      <c r="C10" s="60" t="s">
        <v>16</v>
      </c>
      <c r="D10" s="61" t="s">
        <v>25</v>
      </c>
      <c r="E10" s="65">
        <v>0.3</v>
      </c>
      <c r="F10" s="60"/>
    </row>
    <row r="11" spans="1:6" ht="16.5" x14ac:dyDescent="0.3">
      <c r="A11" s="60"/>
      <c r="B11" s="60" t="s">
        <v>34</v>
      </c>
      <c r="C11" s="60" t="s">
        <v>16</v>
      </c>
      <c r="D11" s="61" t="s">
        <v>26</v>
      </c>
      <c r="E11" s="65">
        <v>0.08</v>
      </c>
      <c r="F11" s="60"/>
    </row>
    <row r="12" spans="1:6" ht="16.5" x14ac:dyDescent="0.3">
      <c r="A12" s="60"/>
      <c r="B12" s="60" t="s">
        <v>35</v>
      </c>
      <c r="C12" s="60" t="s">
        <v>16</v>
      </c>
      <c r="D12" s="61" t="s">
        <v>27</v>
      </c>
      <c r="E12" s="65">
        <v>0.1</v>
      </c>
      <c r="F12" s="60"/>
    </row>
    <row r="13" spans="1:6" ht="16.5" x14ac:dyDescent="0.3">
      <c r="A13" s="60"/>
      <c r="B13" s="60" t="s">
        <v>36</v>
      </c>
      <c r="C13" s="60" t="s">
        <v>16</v>
      </c>
      <c r="D13" s="61" t="s">
        <v>28</v>
      </c>
      <c r="E13" s="65">
        <v>0.1</v>
      </c>
      <c r="F13" s="60"/>
    </row>
    <row r="14" spans="1:6" ht="16.5" x14ac:dyDescent="0.3">
      <c r="A14" s="62"/>
      <c r="B14" s="62" t="s">
        <v>37</v>
      </c>
      <c r="C14" s="62" t="s">
        <v>16</v>
      </c>
      <c r="D14" s="63" t="s">
        <v>29</v>
      </c>
      <c r="E14" s="66">
        <v>0.1</v>
      </c>
      <c r="F14" s="62"/>
    </row>
    <row r="15" spans="1:6" ht="16.5" x14ac:dyDescent="0.3">
      <c r="B15" s="60" t="s">
        <v>38</v>
      </c>
      <c r="C15" t="s">
        <v>17</v>
      </c>
      <c r="D15" s="57" t="s">
        <v>24</v>
      </c>
      <c r="E15" s="55">
        <v>0.5</v>
      </c>
    </row>
    <row r="16" spans="1:6" ht="16.5" x14ac:dyDescent="0.3">
      <c r="B16" s="60" t="s">
        <v>39</v>
      </c>
      <c r="C16" t="s">
        <v>17</v>
      </c>
      <c r="D16" s="57" t="s">
        <v>25</v>
      </c>
      <c r="E16" s="55">
        <v>0.1</v>
      </c>
    </row>
    <row r="17" spans="2:5" ht="16.5" x14ac:dyDescent="0.3">
      <c r="B17" s="60" t="s">
        <v>40</v>
      </c>
      <c r="C17" t="s">
        <v>17</v>
      </c>
      <c r="D17" s="57" t="s">
        <v>26</v>
      </c>
      <c r="E17" s="55">
        <v>0.05</v>
      </c>
    </row>
    <row r="18" spans="2:5" ht="16.5" x14ac:dyDescent="0.3">
      <c r="B18" s="60" t="s">
        <v>41</v>
      </c>
      <c r="C18" t="s">
        <v>17</v>
      </c>
      <c r="D18" s="57" t="s">
        <v>27</v>
      </c>
      <c r="E18" s="55">
        <v>0.05</v>
      </c>
    </row>
    <row r="19" spans="2:5" ht="16.5" x14ac:dyDescent="0.3">
      <c r="B19" s="60" t="s">
        <v>42</v>
      </c>
      <c r="C19" t="s">
        <v>17</v>
      </c>
      <c r="D19" s="57" t="s">
        <v>28</v>
      </c>
      <c r="E19" s="55">
        <v>0.2</v>
      </c>
    </row>
    <row r="20" spans="2:5" ht="16.5" x14ac:dyDescent="0.3">
      <c r="B20" s="60" t="s">
        <v>43</v>
      </c>
      <c r="C20" t="s">
        <v>17</v>
      </c>
      <c r="D20" s="57" t="s">
        <v>29</v>
      </c>
      <c r="E20" s="55">
        <v>0.1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8BFD98E8FA3F40AB192129C3FE9998" ma:contentTypeVersion="13" ma:contentTypeDescription="Crie um novo documento." ma:contentTypeScope="" ma:versionID="cd6f55ad4c333e9749b84f80b8a60f21">
  <xsd:schema xmlns:xsd="http://www.w3.org/2001/XMLSchema" xmlns:xs="http://www.w3.org/2001/XMLSchema" xmlns:p="http://schemas.microsoft.com/office/2006/metadata/properties" xmlns:ns3="17dd5a98-50a2-4128-95a2-583d382ff47c" xmlns:ns4="519c5b5c-3760-4722-8f6e-6552edb1b34d" targetNamespace="http://schemas.microsoft.com/office/2006/metadata/properties" ma:root="true" ma:fieldsID="599560852ade74325fe4f386a3a5f512" ns3:_="" ns4:_="">
    <xsd:import namespace="17dd5a98-50a2-4128-95a2-583d382ff47c"/>
    <xsd:import namespace="519c5b5c-3760-4722-8f6e-6552edb1b34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d5a98-50a2-4128-95a2-583d382ff4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c5b5c-3760-4722-8f6e-6552edb1b3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9c5b5c-3760-4722-8f6e-6552edb1b34d" xsi:nil="true"/>
  </documentManagement>
</p:properties>
</file>

<file path=customXml/itemProps1.xml><?xml version="1.0" encoding="utf-8"?>
<ds:datastoreItem xmlns:ds="http://schemas.openxmlformats.org/officeDocument/2006/customXml" ds:itemID="{EAC42D1D-2798-440F-8FF8-8EB102478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d5a98-50a2-4128-95a2-583d382ff47c"/>
    <ds:schemaRef ds:uri="519c5b5c-3760-4722-8f6e-6552edb1b3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C3665-150B-48DF-8C34-3E7582B40C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EE54D1-531F-4B59-B569-4E4C8E4CE2AE}">
  <ds:schemaRefs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519c5b5c-3760-4722-8f6e-6552edb1b34d"/>
    <ds:schemaRef ds:uri="http://purl.org/dc/terms/"/>
    <ds:schemaRef ds:uri="http://schemas.microsoft.com/office/infopath/2007/PartnerControls"/>
    <ds:schemaRef ds:uri="17dd5a98-50a2-4128-95a2-583d382ff47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qtd_anos</vt:lpstr>
      <vt:lpstr>rendimento_da_carteira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Barcelos de Souza</dc:creator>
  <cp:lastModifiedBy>Danilo Barcelos de Souza</cp:lastModifiedBy>
  <dcterms:created xsi:type="dcterms:W3CDTF">2026-01-06T18:32:50Z</dcterms:created>
  <dcterms:modified xsi:type="dcterms:W3CDTF">2026-01-07T12:40:33Z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0x010100E78BFD98E8FA3F40AB192129C3FE9998</vt:lpwstr>
  </property>
</Properties>
</file>